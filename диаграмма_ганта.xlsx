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aniel_ignatiev/"/>
    </mc:Choice>
  </mc:AlternateContent>
  <xr:revisionPtr revIDLastSave="0" documentId="13_ncr:1_{5CE9662F-785D-1349-913A-613DAAA7287D}" xr6:coauthVersionLast="47" xr6:coauthVersionMax="47" xr10:uidLastSave="{00000000-0000-0000-0000-000000000000}"/>
  <bookViews>
    <workbookView xWindow="0" yWindow="600" windowWidth="27040" windowHeight="15640" tabRatio="500" xr2:uid="{00000000-000D-0000-FFFF-FFFF00000000}"/>
  </bookViews>
  <sheets>
    <sheet name="Диаграмма Ганта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9" i="1" l="1"/>
  <c r="D29" i="1"/>
  <c r="C29" i="1"/>
  <c r="F24" i="1"/>
  <c r="D24" i="1"/>
  <c r="C24" i="1"/>
  <c r="F19" i="1"/>
  <c r="D19" i="1"/>
  <c r="C19" i="1"/>
  <c r="F10" i="1"/>
  <c r="D10" i="1"/>
  <c r="C10" i="1"/>
  <c r="D5" i="1"/>
  <c r="C5" i="1"/>
  <c r="C2" i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</calcChain>
</file>

<file path=xl/sharedStrings.xml><?xml version="1.0" encoding="utf-8"?>
<sst xmlns="http://schemas.openxmlformats.org/spreadsheetml/2006/main" count="122" uniqueCount="76">
  <si>
    <t>Курсовая работа: «Алгоритм поиска оптимального пути между станциями метро»</t>
  </si>
  <si>
    <t>Начало проекта:</t>
  </si>
  <si>
    <t>№</t>
  </si>
  <si>
    <t>Задача</t>
  </si>
  <si>
    <t>Дата начала</t>
  </si>
  <si>
    <t>Дата завершения</t>
  </si>
  <si>
    <t>Исполнитель</t>
  </si>
  <si>
    <t>Статус</t>
  </si>
  <si>
    <t>1</t>
  </si>
  <si>
    <t>ПОДГОТОВКА</t>
  </si>
  <si>
    <t>—</t>
  </si>
  <si>
    <t>Сделано</t>
  </si>
  <si>
    <t>1.1</t>
  </si>
  <si>
    <t>Постановка задачи и цели курсовой</t>
  </si>
  <si>
    <t>Оба</t>
  </si>
  <si>
    <t>1.2</t>
  </si>
  <si>
    <t>Выбор 3 алгоритмов и критериев сравнения</t>
  </si>
  <si>
    <t>1.3</t>
  </si>
  <si>
    <t>Обзор литературы по алгоритмам на графах</t>
  </si>
  <si>
    <t>Алабад Ахмед</t>
  </si>
  <si>
    <t>1.4</t>
  </si>
  <si>
    <t>Составление схемы метро (станции, линии)</t>
  </si>
  <si>
    <t>Игнатьев Даниил</t>
  </si>
  <si>
    <t>2</t>
  </si>
  <si>
    <t>РАЗРАБОТКА ПРИЛОЖЕНИЯ</t>
  </si>
  <si>
    <t>2.1</t>
  </si>
  <si>
    <t>Структура данных: граф, рёбра, веса</t>
  </si>
  <si>
    <t>2.2</t>
  </si>
  <si>
    <t>2.3</t>
  </si>
  <si>
    <t>2.4</t>
  </si>
  <si>
    <t>2.5</t>
  </si>
  <si>
    <t>2.6</t>
  </si>
  <si>
    <t>Не начато</t>
  </si>
  <si>
    <t>2.7</t>
  </si>
  <si>
    <t>2.8</t>
  </si>
  <si>
    <t>Алгоритм 3: Беллмана–Форд</t>
  </si>
  <si>
    <t>3</t>
  </si>
  <si>
    <t>ТЕСТИРОВАНИЕ И СРАВНЕНИЕ</t>
  </si>
  <si>
    <t>3.1</t>
  </si>
  <si>
    <t>Набор тестовых пар станций</t>
  </si>
  <si>
    <t>3.2</t>
  </si>
  <si>
    <t>Замеры времени и числа посещённых вершин</t>
  </si>
  <si>
    <t>3.3</t>
  </si>
  <si>
    <t>Сравнение результатов: таблицы и графики</t>
  </si>
  <si>
    <t>3.4</t>
  </si>
  <si>
    <t>Исправление ошибок по итогам тестов</t>
  </si>
  <si>
    <t>4</t>
  </si>
  <si>
    <t>ПОЯСНИТЕЛЬНАЯ ЗАПИСКА</t>
  </si>
  <si>
    <t>4.1</t>
  </si>
  <si>
    <t>Теоретическая часть: описание алгоритмов</t>
  </si>
  <si>
    <t>4.2</t>
  </si>
  <si>
    <t>Практическая часть: описание реализации</t>
  </si>
  <si>
    <t>4.3</t>
  </si>
  <si>
    <t>Результаты эксперимента и выводы</t>
  </si>
  <si>
    <t>4.4</t>
  </si>
  <si>
    <t>Оформление, список литературы</t>
  </si>
  <si>
    <t>5</t>
  </si>
  <si>
    <t>ЗАЩИТА</t>
  </si>
  <si>
    <t>5.1</t>
  </si>
  <si>
    <t>Презентация</t>
  </si>
  <si>
    <t>5.2</t>
  </si>
  <si>
    <t>Подготовка и репетиция доклада</t>
  </si>
  <si>
    <t>5.3</t>
  </si>
  <si>
    <t>Защита курсовой работы</t>
  </si>
  <si>
    <t>Легенда (этапы):</t>
  </si>
  <si>
    <t>Этап 1. Подготовка</t>
  </si>
  <si>
    <t>Этап 2. Разработка приложения</t>
  </si>
  <si>
    <t>Этап 3. Тестирование и сравнение</t>
  </si>
  <si>
    <t>Этап 4. Пояснительная записка</t>
  </si>
  <si>
    <t>Этап 5. Защита</t>
  </si>
  <si>
    <t>Интерфейс: карта и панель поиска</t>
  </si>
  <si>
    <t>Алгоритм 2: A*</t>
  </si>
  <si>
    <t>Окно настроек и сохранение параметров</t>
  </si>
  <si>
    <t>Реестр алгоритмов</t>
  </si>
  <si>
    <t>Режимы: быстрее / меньше остановок / дешевле</t>
  </si>
  <si>
    <t>Алгоритм 1: Дейкстры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</si>
</sst>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sz val="10"/>
      <color rgb="FF0000F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5E7EB"/>
      </patternFill>
    </fill>
    <fill>
      <patternFill patternType="solid">
        <fgColor rgb="FFE5E7EB"/>
        <bgColor rgb="FFDDEBF7"/>
      </patternFill>
    </fill>
    <fill>
      <patternFill patternType="solid">
        <fgColor rgb="FF2F5FA8"/>
        <bgColor rgb="FF3366FF"/>
      </patternFill>
    </fill>
    <fill>
      <patternFill patternType="solid">
        <fgColor rgb="FF2E7D32"/>
        <bgColor rgb="FF008000"/>
      </patternFill>
    </fill>
    <fill>
      <patternFill patternType="solid">
        <fgColor rgb="FFD97706"/>
        <bgColor rgb="FFFF9900"/>
      </patternFill>
    </fill>
    <fill>
      <patternFill patternType="solid">
        <fgColor rgb="FF7C4DBF"/>
        <bgColor rgb="FF993366"/>
      </patternFill>
    </fill>
    <fill>
      <patternFill patternType="solid">
        <fgColor rgb="FFD62839"/>
        <bgColor rgb="FF99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64" fontId="3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5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0" fillId="4" borderId="1" xfId="0" applyFill="1" applyBorder="1"/>
    <xf numFmtId="0" fontId="2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Обычный" xfId="0" builtinId="0"/>
  </cellStyles>
  <dxfs count="13">
    <dxf>
      <fill>
        <patternFill>
          <bgColor rgb="FFF08A93"/>
        </patternFill>
      </fill>
    </dxf>
    <dxf>
      <fill>
        <patternFill>
          <bgColor rgb="FFD62839"/>
        </patternFill>
      </fill>
    </dxf>
    <dxf>
      <fill>
        <patternFill>
          <bgColor rgb="FFB79AE0"/>
        </patternFill>
      </fill>
    </dxf>
    <dxf>
      <fill>
        <patternFill>
          <bgColor rgb="FF7C4DBF"/>
        </patternFill>
      </fill>
    </dxf>
    <dxf>
      <fill>
        <patternFill>
          <bgColor rgb="FFF5B65C"/>
        </patternFill>
      </fill>
    </dxf>
    <dxf>
      <fill>
        <patternFill>
          <bgColor rgb="FFD97706"/>
        </patternFill>
      </fill>
    </dxf>
    <dxf>
      <fill>
        <patternFill>
          <bgColor rgb="FF82C088"/>
        </patternFill>
      </fill>
    </dxf>
    <dxf>
      <fill>
        <patternFill>
          <bgColor rgb="FF2E7D32"/>
        </patternFill>
      </fill>
    </dxf>
    <dxf>
      <fill>
        <patternFill>
          <bgColor rgb="FF8FB0E6"/>
        </patternFill>
      </fill>
    </dxf>
    <dxf>
      <fill>
        <patternFill>
          <bgColor rgb="FF2F5FA8"/>
        </patternFill>
      </fill>
    </dxf>
    <dxf>
      <fill>
        <patternFill>
          <bgColor rgb="FFDDEBF7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B0E6"/>
      <rgbColor rgb="FFD62839"/>
      <rgbColor rgb="FFFFFFCC"/>
      <rgbColor rgb="FFDDEBF7"/>
      <rgbColor rgb="FF660066"/>
      <rgbColor rgb="FFF08A93"/>
      <rgbColor rgb="FF2F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6E0B4"/>
      <rgbColor rgb="FFFFE699"/>
      <rgbColor rgb="FF99CCFF"/>
      <rgbColor rgb="FFFF99CC"/>
      <rgbColor rgb="FFB79AE0"/>
      <rgbColor rgb="FFF5B65C"/>
      <rgbColor rgb="FF3366FF"/>
      <rgbColor rgb="FF33CCCC"/>
      <rgbColor rgb="FF99CC00"/>
      <rgbColor rgb="FFFFCC00"/>
      <rgbColor rgb="FFFF9900"/>
      <rgbColor rgb="FFD97706"/>
      <rgbColor rgb="FF7C4DBF"/>
      <rgbColor rgb="FF82C088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H39"/>
  <sheetViews>
    <sheetView showGridLines="0" tabSelected="1" zoomScale="135" zoomScaleNormal="135" workbookViewId="0">
      <pane ySplit="4" topLeftCell="A11" activePane="bottomLeft" state="frozen"/>
      <selection pane="bottomLeft" activeCell="B14" sqref="B14"/>
    </sheetView>
  </sheetViews>
  <sheetFormatPr baseColWidth="10" defaultColWidth="8.6640625" defaultRowHeight="15" x14ac:dyDescent="0.2"/>
  <cols>
    <col min="1" max="1" width="6" customWidth="1"/>
    <col min="2" max="2" width="48" customWidth="1"/>
    <col min="3" max="4" width="13" customWidth="1"/>
    <col min="5" max="5" width="17" customWidth="1"/>
    <col min="6" max="6" width="13" customWidth="1"/>
    <col min="7" max="86" width="3.33203125" customWidth="1"/>
  </cols>
  <sheetData>
    <row r="1" spans="1:86" ht="18" customHeight="1" x14ac:dyDescent="0.2">
      <c r="A1" s="1" t="s">
        <v>0</v>
      </c>
    </row>
    <row r="2" spans="1:86" ht="15" customHeight="1" x14ac:dyDescent="0.2">
      <c r="B2" s="2" t="s">
        <v>1</v>
      </c>
      <c r="C2" s="3">
        <f>MIN(C5:C32)</f>
        <v>46273</v>
      </c>
    </row>
    <row r="4" spans="1:86" ht="69.75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>
        <f>$C$2</f>
        <v>46273</v>
      </c>
      <c r="H4" s="5">
        <f t="shared" ref="H4:AM4" si="0">G4+1</f>
        <v>46274</v>
      </c>
      <c r="I4" s="5">
        <f t="shared" si="0"/>
        <v>46275</v>
      </c>
      <c r="J4" s="5">
        <f t="shared" si="0"/>
        <v>46276</v>
      </c>
      <c r="K4" s="5">
        <f t="shared" si="0"/>
        <v>46277</v>
      </c>
      <c r="L4" s="5">
        <f t="shared" si="0"/>
        <v>46278</v>
      </c>
      <c r="M4" s="5">
        <f t="shared" si="0"/>
        <v>46279</v>
      </c>
      <c r="N4" s="5">
        <f t="shared" si="0"/>
        <v>46280</v>
      </c>
      <c r="O4" s="5">
        <f t="shared" si="0"/>
        <v>46281</v>
      </c>
      <c r="P4" s="5">
        <f t="shared" si="0"/>
        <v>46282</v>
      </c>
      <c r="Q4" s="5">
        <f t="shared" si="0"/>
        <v>46283</v>
      </c>
      <c r="R4" s="5">
        <f t="shared" si="0"/>
        <v>46284</v>
      </c>
      <c r="S4" s="5">
        <f t="shared" si="0"/>
        <v>46285</v>
      </c>
      <c r="T4" s="5">
        <f t="shared" si="0"/>
        <v>46286</v>
      </c>
      <c r="U4" s="5">
        <f t="shared" si="0"/>
        <v>46287</v>
      </c>
      <c r="V4" s="5">
        <f t="shared" si="0"/>
        <v>46288</v>
      </c>
      <c r="W4" s="5">
        <f t="shared" si="0"/>
        <v>46289</v>
      </c>
      <c r="X4" s="5">
        <f t="shared" si="0"/>
        <v>46290</v>
      </c>
      <c r="Y4" s="5">
        <f t="shared" si="0"/>
        <v>46291</v>
      </c>
      <c r="Z4" s="5">
        <f t="shared" si="0"/>
        <v>46292</v>
      </c>
      <c r="AA4" s="5">
        <f t="shared" si="0"/>
        <v>46293</v>
      </c>
      <c r="AB4" s="5">
        <f t="shared" si="0"/>
        <v>46294</v>
      </c>
      <c r="AC4" s="5">
        <f t="shared" si="0"/>
        <v>46295</v>
      </c>
      <c r="AD4" s="5">
        <f t="shared" si="0"/>
        <v>46296</v>
      </c>
      <c r="AE4" s="5">
        <f t="shared" si="0"/>
        <v>46297</v>
      </c>
      <c r="AF4" s="5">
        <f t="shared" si="0"/>
        <v>46298</v>
      </c>
      <c r="AG4" s="5">
        <f t="shared" si="0"/>
        <v>46299</v>
      </c>
      <c r="AH4" s="5">
        <f t="shared" si="0"/>
        <v>46300</v>
      </c>
      <c r="AI4" s="5">
        <f t="shared" si="0"/>
        <v>46301</v>
      </c>
      <c r="AJ4" s="5">
        <f t="shared" si="0"/>
        <v>46302</v>
      </c>
      <c r="AK4" s="5">
        <f t="shared" si="0"/>
        <v>46303</v>
      </c>
      <c r="AL4" s="5">
        <f t="shared" si="0"/>
        <v>46304</v>
      </c>
      <c r="AM4" s="5">
        <f t="shared" si="0"/>
        <v>46305</v>
      </c>
      <c r="AN4" s="5">
        <f t="shared" ref="AN4:BS4" si="1">AM4+1</f>
        <v>46306</v>
      </c>
      <c r="AO4" s="5">
        <f t="shared" si="1"/>
        <v>46307</v>
      </c>
      <c r="AP4" s="5">
        <f t="shared" si="1"/>
        <v>46308</v>
      </c>
      <c r="AQ4" s="5">
        <f t="shared" si="1"/>
        <v>46309</v>
      </c>
      <c r="AR4" s="5">
        <f t="shared" si="1"/>
        <v>46310</v>
      </c>
      <c r="AS4" s="5">
        <f t="shared" si="1"/>
        <v>46311</v>
      </c>
      <c r="AT4" s="5">
        <f t="shared" si="1"/>
        <v>46312</v>
      </c>
      <c r="AU4" s="5">
        <f t="shared" si="1"/>
        <v>46313</v>
      </c>
      <c r="AV4" s="5">
        <f t="shared" si="1"/>
        <v>46314</v>
      </c>
      <c r="AW4" s="5">
        <f t="shared" si="1"/>
        <v>46315</v>
      </c>
      <c r="AX4" s="5">
        <f t="shared" si="1"/>
        <v>46316</v>
      </c>
      <c r="AY4" s="5">
        <f t="shared" si="1"/>
        <v>46317</v>
      </c>
      <c r="AZ4" s="5">
        <f t="shared" si="1"/>
        <v>46318</v>
      </c>
      <c r="BA4" s="5">
        <f t="shared" si="1"/>
        <v>46319</v>
      </c>
      <c r="BB4" s="5">
        <f t="shared" si="1"/>
        <v>46320</v>
      </c>
      <c r="BC4" s="5">
        <f t="shared" si="1"/>
        <v>46321</v>
      </c>
      <c r="BD4" s="5">
        <f t="shared" si="1"/>
        <v>46322</v>
      </c>
      <c r="BE4" s="5">
        <f t="shared" si="1"/>
        <v>46323</v>
      </c>
      <c r="BF4" s="5">
        <f t="shared" si="1"/>
        <v>46324</v>
      </c>
      <c r="BG4" s="5">
        <f t="shared" si="1"/>
        <v>46325</v>
      </c>
      <c r="BH4" s="5">
        <f t="shared" si="1"/>
        <v>46326</v>
      </c>
      <c r="BI4" s="5">
        <f t="shared" si="1"/>
        <v>46327</v>
      </c>
      <c r="BJ4" s="5">
        <f t="shared" si="1"/>
        <v>46328</v>
      </c>
      <c r="BK4" s="5">
        <f t="shared" si="1"/>
        <v>46329</v>
      </c>
      <c r="BL4" s="5">
        <f t="shared" si="1"/>
        <v>46330</v>
      </c>
      <c r="BM4" s="5">
        <f t="shared" si="1"/>
        <v>46331</v>
      </c>
      <c r="BN4" s="5">
        <f t="shared" si="1"/>
        <v>46332</v>
      </c>
      <c r="BO4" s="5">
        <f t="shared" si="1"/>
        <v>46333</v>
      </c>
      <c r="BP4" s="5">
        <f t="shared" si="1"/>
        <v>46334</v>
      </c>
      <c r="BQ4" s="5">
        <f t="shared" si="1"/>
        <v>46335</v>
      </c>
      <c r="BR4" s="5">
        <f t="shared" si="1"/>
        <v>46336</v>
      </c>
      <c r="BS4" s="5">
        <f t="shared" si="1"/>
        <v>46337</v>
      </c>
      <c r="BT4" s="5">
        <f t="shared" ref="BT4:CH4" si="2">BS4+1</f>
        <v>46338</v>
      </c>
      <c r="BU4" s="5">
        <f t="shared" si="2"/>
        <v>46339</v>
      </c>
      <c r="BV4" s="5">
        <f t="shared" si="2"/>
        <v>46340</v>
      </c>
      <c r="BW4" s="5">
        <f t="shared" si="2"/>
        <v>46341</v>
      </c>
      <c r="BX4" s="5">
        <f t="shared" si="2"/>
        <v>46342</v>
      </c>
      <c r="BY4" s="5">
        <f t="shared" si="2"/>
        <v>46343</v>
      </c>
      <c r="BZ4" s="5">
        <f t="shared" si="2"/>
        <v>46344</v>
      </c>
      <c r="CA4" s="5">
        <f t="shared" si="2"/>
        <v>46345</v>
      </c>
      <c r="CB4" s="5">
        <f t="shared" si="2"/>
        <v>46346</v>
      </c>
      <c r="CC4" s="5">
        <f t="shared" si="2"/>
        <v>46347</v>
      </c>
      <c r="CD4" s="5">
        <f t="shared" si="2"/>
        <v>46348</v>
      </c>
      <c r="CE4" s="5">
        <f t="shared" si="2"/>
        <v>46349</v>
      </c>
      <c r="CF4" s="5">
        <f t="shared" si="2"/>
        <v>46350</v>
      </c>
      <c r="CG4" s="5">
        <f t="shared" si="2"/>
        <v>46351</v>
      </c>
      <c r="CH4" s="5">
        <f t="shared" si="2"/>
        <v>46352</v>
      </c>
    </row>
    <row r="5" spans="1:86" ht="19.5" customHeight="1" x14ac:dyDescent="0.2">
      <c r="A5" s="6" t="s">
        <v>8</v>
      </c>
      <c r="B5" s="7" t="s">
        <v>9</v>
      </c>
      <c r="C5" s="8">
        <f>MIN(C6:C9)</f>
        <v>46273</v>
      </c>
      <c r="D5" s="8">
        <f>MAX(D6:D9)</f>
        <v>46282</v>
      </c>
      <c r="E5" s="6" t="s">
        <v>10</v>
      </c>
      <c r="F5" s="9" t="s">
        <v>11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</row>
    <row r="6" spans="1:86" ht="19.5" customHeight="1" x14ac:dyDescent="0.2">
      <c r="A6" s="11" t="s">
        <v>12</v>
      </c>
      <c r="B6" s="12" t="s">
        <v>13</v>
      </c>
      <c r="C6" s="13">
        <v>46273</v>
      </c>
      <c r="D6" s="13">
        <v>46276</v>
      </c>
      <c r="E6" s="11" t="s">
        <v>14</v>
      </c>
      <c r="F6" s="11" t="s">
        <v>11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</row>
    <row r="7" spans="1:86" ht="19.5" customHeight="1" x14ac:dyDescent="0.2">
      <c r="A7" s="11" t="s">
        <v>15</v>
      </c>
      <c r="B7" s="12" t="s">
        <v>16</v>
      </c>
      <c r="C7" s="13">
        <v>46277</v>
      </c>
      <c r="D7" s="13">
        <v>46280</v>
      </c>
      <c r="E7" s="11" t="s">
        <v>14</v>
      </c>
      <c r="F7" s="11" t="s">
        <v>11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</row>
    <row r="8" spans="1:86" ht="19.5" customHeight="1" x14ac:dyDescent="0.2">
      <c r="A8" s="11" t="s">
        <v>17</v>
      </c>
      <c r="B8" s="12" t="s">
        <v>18</v>
      </c>
      <c r="C8" s="13">
        <v>46277</v>
      </c>
      <c r="D8" s="13">
        <v>46282</v>
      </c>
      <c r="E8" s="11" t="s">
        <v>19</v>
      </c>
      <c r="F8" s="11" t="s">
        <v>11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</row>
    <row r="9" spans="1:86" ht="19.5" customHeight="1" x14ac:dyDescent="0.2">
      <c r="A9" s="11" t="s">
        <v>20</v>
      </c>
      <c r="B9" s="12" t="s">
        <v>21</v>
      </c>
      <c r="C9" s="13">
        <v>46277</v>
      </c>
      <c r="D9" s="13">
        <v>46281</v>
      </c>
      <c r="E9" s="11" t="s">
        <v>22</v>
      </c>
      <c r="F9" s="11" t="s">
        <v>11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</row>
    <row r="10" spans="1:86" ht="19.5" customHeight="1" x14ac:dyDescent="0.2">
      <c r="A10" s="6" t="s">
        <v>23</v>
      </c>
      <c r="B10" s="7" t="s">
        <v>24</v>
      </c>
      <c r="C10" s="8">
        <f>MIN(C11:C18)</f>
        <v>46283</v>
      </c>
      <c r="D10" s="8">
        <f>MAX(D11:D18)</f>
        <v>46319</v>
      </c>
      <c r="E10" s="6" t="s">
        <v>10</v>
      </c>
      <c r="F10" s="6" t="str">
        <f>IF(COUNTIF(F11:F18,"Сделано")=ROWS(F11:F18),"Сделано",IF(COUNTIF(F11:F18,"Не начато")=ROWS(F11:F18),"Не начато","В процессе"))</f>
        <v>В процессе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</row>
    <row r="11" spans="1:86" ht="19.5" customHeight="1" x14ac:dyDescent="0.2">
      <c r="A11" s="11" t="s">
        <v>25</v>
      </c>
      <c r="B11" s="12" t="s">
        <v>26</v>
      </c>
      <c r="C11" s="13">
        <v>46283</v>
      </c>
      <c r="D11" s="13">
        <v>46291</v>
      </c>
      <c r="E11" s="11" t="s">
        <v>22</v>
      </c>
      <c r="F11" s="11" t="s">
        <v>11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</row>
    <row r="12" spans="1:86" ht="19.5" customHeight="1" x14ac:dyDescent="0.2">
      <c r="A12" s="11" t="s">
        <v>27</v>
      </c>
      <c r="B12" s="12" t="s">
        <v>70</v>
      </c>
      <c r="C12" s="13">
        <v>46292</v>
      </c>
      <c r="D12" s="13">
        <v>46303</v>
      </c>
      <c r="E12" s="11" t="s">
        <v>22</v>
      </c>
      <c r="F12" s="11" t="s">
        <v>11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</row>
    <row r="13" spans="1:86" ht="19.5" customHeight="1" x14ac:dyDescent="0.2">
      <c r="A13" s="11" t="s">
        <v>28</v>
      </c>
      <c r="B13" s="12" t="s">
        <v>73</v>
      </c>
      <c r="C13" s="13">
        <v>46283</v>
      </c>
      <c r="D13" s="13">
        <v>46288</v>
      </c>
      <c r="E13" s="11" t="s">
        <v>19</v>
      </c>
      <c r="F13" s="11" t="s">
        <v>11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</row>
    <row r="14" spans="1:86" ht="19.5" customHeight="1" x14ac:dyDescent="0.2">
      <c r="A14" s="11" t="s">
        <v>29</v>
      </c>
      <c r="B14" s="12" t="s">
        <v>75</v>
      </c>
      <c r="C14" s="13">
        <v>46289</v>
      </c>
      <c r="D14" s="13">
        <v>46303</v>
      </c>
      <c r="E14" s="11" t="s">
        <v>19</v>
      </c>
      <c r="F14" s="11" t="s">
        <v>11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</row>
    <row r="15" spans="1:86" ht="19.5" customHeight="1" x14ac:dyDescent="0.2">
      <c r="A15" s="11" t="s">
        <v>30</v>
      </c>
      <c r="B15" s="12" t="s">
        <v>74</v>
      </c>
      <c r="C15" s="13">
        <v>46304</v>
      </c>
      <c r="D15" s="13">
        <v>46309</v>
      </c>
      <c r="E15" s="11" t="s">
        <v>19</v>
      </c>
      <c r="F15" s="11" t="s">
        <v>11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</row>
    <row r="16" spans="1:86" ht="19.5" customHeight="1" x14ac:dyDescent="0.2">
      <c r="A16" s="11" t="s">
        <v>31</v>
      </c>
      <c r="B16" s="12" t="s">
        <v>71</v>
      </c>
      <c r="C16" s="13">
        <v>46310</v>
      </c>
      <c r="D16" s="13">
        <v>46319</v>
      </c>
      <c r="E16" s="11" t="s">
        <v>19</v>
      </c>
      <c r="F16" s="11" t="s">
        <v>32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</row>
    <row r="17" spans="1:86" ht="19.5" customHeight="1" x14ac:dyDescent="0.2">
      <c r="A17" s="11" t="s">
        <v>33</v>
      </c>
      <c r="B17" s="12" t="s">
        <v>72</v>
      </c>
      <c r="C17" s="13">
        <v>46304</v>
      </c>
      <c r="D17" s="13">
        <v>46310</v>
      </c>
      <c r="E17" s="11" t="s">
        <v>22</v>
      </c>
      <c r="F17" s="11" t="s">
        <v>11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</row>
    <row r="18" spans="1:86" ht="19.5" customHeight="1" x14ac:dyDescent="0.2">
      <c r="A18" s="11" t="s">
        <v>34</v>
      </c>
      <c r="B18" s="12" t="s">
        <v>35</v>
      </c>
      <c r="C18" s="13">
        <v>46311</v>
      </c>
      <c r="D18" s="13">
        <v>46319</v>
      </c>
      <c r="E18" s="11" t="s">
        <v>22</v>
      </c>
      <c r="F18" s="11" t="s">
        <v>32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</row>
    <row r="19" spans="1:86" ht="19.5" customHeight="1" x14ac:dyDescent="0.2">
      <c r="A19" s="6" t="s">
        <v>36</v>
      </c>
      <c r="B19" s="7" t="s">
        <v>37</v>
      </c>
      <c r="C19" s="8">
        <f>MIN(C20:C23)</f>
        <v>46320</v>
      </c>
      <c r="D19" s="8">
        <f>MAX(D20:D23)</f>
        <v>46332</v>
      </c>
      <c r="E19" s="6" t="s">
        <v>10</v>
      </c>
      <c r="F19" s="6" t="str">
        <f>IF(COUNTIF(F20:F23,"Сделано")=ROWS(F20:F23),"Сделано",IF(COUNTIF(F20:F23,"Не начато")=ROWS(F20:F23),"Не начато","В процессе"))</f>
        <v>Не начато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</row>
    <row r="20" spans="1:86" ht="19.5" customHeight="1" x14ac:dyDescent="0.2">
      <c r="A20" s="11" t="s">
        <v>38</v>
      </c>
      <c r="B20" s="12" t="s">
        <v>39</v>
      </c>
      <c r="C20" s="13">
        <v>46320</v>
      </c>
      <c r="D20" s="13">
        <v>46322</v>
      </c>
      <c r="E20" s="11" t="s">
        <v>14</v>
      </c>
      <c r="F20" s="11" t="s">
        <v>32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</row>
    <row r="21" spans="1:86" ht="19.5" customHeight="1" x14ac:dyDescent="0.2">
      <c r="A21" s="11" t="s">
        <v>40</v>
      </c>
      <c r="B21" s="12" t="s">
        <v>41</v>
      </c>
      <c r="C21" s="13">
        <v>46323</v>
      </c>
      <c r="D21" s="13">
        <v>46329</v>
      </c>
      <c r="E21" s="11" t="s">
        <v>22</v>
      </c>
      <c r="F21" s="11" t="s">
        <v>32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</row>
    <row r="22" spans="1:86" ht="19.5" customHeight="1" x14ac:dyDescent="0.2">
      <c r="A22" s="11" t="s">
        <v>42</v>
      </c>
      <c r="B22" s="12" t="s">
        <v>43</v>
      </c>
      <c r="C22" s="13">
        <v>46323</v>
      </c>
      <c r="D22" s="13">
        <v>46329</v>
      </c>
      <c r="E22" s="11" t="s">
        <v>19</v>
      </c>
      <c r="F22" s="11" t="s">
        <v>32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</row>
    <row r="23" spans="1:86" ht="19.5" customHeight="1" x14ac:dyDescent="0.2">
      <c r="A23" s="11" t="s">
        <v>44</v>
      </c>
      <c r="B23" s="12" t="s">
        <v>45</v>
      </c>
      <c r="C23" s="13">
        <v>46330</v>
      </c>
      <c r="D23" s="13">
        <v>46332</v>
      </c>
      <c r="E23" s="11" t="s">
        <v>14</v>
      </c>
      <c r="F23" s="11" t="s">
        <v>32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</row>
    <row r="24" spans="1:86" ht="19.5" customHeight="1" x14ac:dyDescent="0.2">
      <c r="A24" s="6" t="s">
        <v>46</v>
      </c>
      <c r="B24" s="7" t="s">
        <v>47</v>
      </c>
      <c r="C24" s="8">
        <f>MIN(C25:C28)</f>
        <v>46333</v>
      </c>
      <c r="D24" s="8">
        <f>MAX(D25:D28)</f>
        <v>46347</v>
      </c>
      <c r="E24" s="6" t="s">
        <v>10</v>
      </c>
      <c r="F24" s="6" t="str">
        <f>IF(COUNTIF(F25:F28,"Сделано")=ROWS(F25:F28),"Сделано",IF(COUNTIF(F25:F28,"Не начато")=ROWS(F25:F28),"Не начато","В процессе"))</f>
        <v>Не начато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</row>
    <row r="25" spans="1:86" ht="19.5" customHeight="1" x14ac:dyDescent="0.2">
      <c r="A25" s="11" t="s">
        <v>48</v>
      </c>
      <c r="B25" s="12" t="s">
        <v>49</v>
      </c>
      <c r="C25" s="13">
        <v>46333</v>
      </c>
      <c r="D25" s="13">
        <v>46339</v>
      </c>
      <c r="E25" s="11" t="s">
        <v>19</v>
      </c>
      <c r="F25" s="11" t="s">
        <v>32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</row>
    <row r="26" spans="1:86" ht="19.5" customHeight="1" x14ac:dyDescent="0.2">
      <c r="A26" s="11" t="s">
        <v>50</v>
      </c>
      <c r="B26" s="12" t="s">
        <v>51</v>
      </c>
      <c r="C26" s="13">
        <v>46336</v>
      </c>
      <c r="D26" s="13">
        <v>46342</v>
      </c>
      <c r="E26" s="11" t="s">
        <v>22</v>
      </c>
      <c r="F26" s="11" t="s">
        <v>32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</row>
    <row r="27" spans="1:86" ht="19.5" customHeight="1" x14ac:dyDescent="0.2">
      <c r="A27" s="11" t="s">
        <v>52</v>
      </c>
      <c r="B27" s="12" t="s">
        <v>53</v>
      </c>
      <c r="C27" s="13">
        <v>46340</v>
      </c>
      <c r="D27" s="13">
        <v>46344</v>
      </c>
      <c r="E27" s="11" t="s">
        <v>19</v>
      </c>
      <c r="F27" s="11" t="s">
        <v>32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</row>
    <row r="28" spans="1:86" ht="19.5" customHeight="1" x14ac:dyDescent="0.2">
      <c r="A28" s="11" t="s">
        <v>54</v>
      </c>
      <c r="B28" s="12" t="s">
        <v>55</v>
      </c>
      <c r="C28" s="13">
        <v>46345</v>
      </c>
      <c r="D28" s="13">
        <v>46347</v>
      </c>
      <c r="E28" s="11" t="s">
        <v>14</v>
      </c>
      <c r="F28" s="11" t="s">
        <v>32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</row>
    <row r="29" spans="1:86" ht="19.5" customHeight="1" x14ac:dyDescent="0.2">
      <c r="A29" s="6" t="s">
        <v>56</v>
      </c>
      <c r="B29" s="7" t="s">
        <v>57</v>
      </c>
      <c r="C29" s="8">
        <f>MIN(C30:C32)</f>
        <v>46348</v>
      </c>
      <c r="D29" s="8">
        <f>MAX(D30:D32)</f>
        <v>46352</v>
      </c>
      <c r="E29" s="6" t="s">
        <v>10</v>
      </c>
      <c r="F29" s="6" t="str">
        <f>IF(COUNTIF(F30:F32,"Сделано")=ROWS(F30:F32),"Сделано",IF(COUNTIF(F30:F32,"Не начато")=ROWS(F30:F32),"Не начато","В процессе"))</f>
        <v>Не начато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</row>
    <row r="30" spans="1:86" ht="19.5" customHeight="1" x14ac:dyDescent="0.2">
      <c r="A30" s="11" t="s">
        <v>58</v>
      </c>
      <c r="B30" s="12" t="s">
        <v>59</v>
      </c>
      <c r="C30" s="13">
        <v>46348</v>
      </c>
      <c r="D30" s="13">
        <v>46349</v>
      </c>
      <c r="E30" s="11" t="s">
        <v>14</v>
      </c>
      <c r="F30" s="11" t="s">
        <v>32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</row>
    <row r="31" spans="1:86" ht="19.5" customHeight="1" x14ac:dyDescent="0.2">
      <c r="A31" s="11" t="s">
        <v>60</v>
      </c>
      <c r="B31" s="12" t="s">
        <v>61</v>
      </c>
      <c r="C31" s="13">
        <v>46350</v>
      </c>
      <c r="D31" s="13">
        <v>46351</v>
      </c>
      <c r="E31" s="11" t="s">
        <v>14</v>
      </c>
      <c r="F31" s="11" t="s">
        <v>32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</row>
    <row r="32" spans="1:86" ht="19.5" customHeight="1" x14ac:dyDescent="0.2">
      <c r="A32" s="11" t="s">
        <v>62</v>
      </c>
      <c r="B32" s="12" t="s">
        <v>63</v>
      </c>
      <c r="C32" s="13">
        <v>46352</v>
      </c>
      <c r="D32" s="13">
        <v>46352</v>
      </c>
      <c r="E32" s="11" t="s">
        <v>14</v>
      </c>
      <c r="F32" s="11" t="s">
        <v>32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</row>
    <row r="34" spans="1:2" ht="15" customHeight="1" x14ac:dyDescent="0.2">
      <c r="B34" s="14" t="s">
        <v>64</v>
      </c>
    </row>
    <row r="35" spans="1:2" ht="15" customHeight="1" x14ac:dyDescent="0.2">
      <c r="A35" s="15"/>
      <c r="B35" s="16" t="s">
        <v>65</v>
      </c>
    </row>
    <row r="36" spans="1:2" ht="15" customHeight="1" x14ac:dyDescent="0.2">
      <c r="A36" s="17"/>
      <c r="B36" s="16" t="s">
        <v>66</v>
      </c>
    </row>
    <row r="37" spans="1:2" ht="15" customHeight="1" x14ac:dyDescent="0.2">
      <c r="A37" s="18"/>
      <c r="B37" s="16" t="s">
        <v>67</v>
      </c>
    </row>
    <row r="38" spans="1:2" ht="15" customHeight="1" x14ac:dyDescent="0.2">
      <c r="A38" s="19"/>
      <c r="B38" s="16" t="s">
        <v>68</v>
      </c>
    </row>
    <row r="39" spans="1:2" ht="15" customHeight="1" x14ac:dyDescent="0.2">
      <c r="A39" s="20"/>
      <c r="B39" s="16" t="s">
        <v>69</v>
      </c>
    </row>
  </sheetData>
  <conditionalFormatting sqref="F5:F32">
    <cfRule type="expression" dxfId="12" priority="12">
      <formula>$F5="Сделано"</formula>
    </cfRule>
    <cfRule type="expression" dxfId="11" priority="13">
      <formula>$F5="В процессе"</formula>
    </cfRule>
    <cfRule type="expression" dxfId="10" priority="14">
      <formula>$F5="Не начато"</formula>
    </cfRule>
  </conditionalFormatting>
  <conditionalFormatting sqref="G5:CH32">
    <cfRule type="expression" dxfId="9" priority="2">
      <formula>AND(AND(G$4&gt;=$C5,G$4&lt;=$D5),LEFT($A5,1)="1",ISERROR(FIND(".",$A5)))</formula>
    </cfRule>
    <cfRule type="expression" dxfId="8" priority="3">
      <formula>AND(AND(G$4&gt;=$C5,G$4&lt;=$D5),LEFT($A5,1)="1")</formula>
    </cfRule>
    <cfRule type="expression" dxfId="7" priority="4">
      <formula>AND(AND(G$4&gt;=$C5,G$4&lt;=$D5),LEFT($A5,1)="2",ISERROR(FIND(".",$A5)))</formula>
    </cfRule>
    <cfRule type="expression" dxfId="6" priority="5">
      <formula>AND(AND(G$4&gt;=$C5,G$4&lt;=$D5),LEFT($A5,1)="2")</formula>
    </cfRule>
    <cfRule type="expression" dxfId="5" priority="6">
      <formula>AND(AND(G$4&gt;=$C5,G$4&lt;=$D5),LEFT($A5,1)="3",ISERROR(FIND(".",$A5)))</formula>
    </cfRule>
    <cfRule type="expression" dxfId="4" priority="7">
      <formula>AND(AND(G$4&gt;=$C5,G$4&lt;=$D5),LEFT($A5,1)="3")</formula>
    </cfRule>
    <cfRule type="expression" dxfId="3" priority="8">
      <formula>AND(AND(G$4&gt;=$C5,G$4&lt;=$D5),LEFT($A5,1)="4",ISERROR(FIND(".",$A5)))</formula>
    </cfRule>
    <cfRule type="expression" dxfId="2" priority="9">
      <formula>AND(AND(G$4&gt;=$C5,G$4&lt;=$D5),LEFT($A5,1)="4")</formula>
    </cfRule>
    <cfRule type="expression" dxfId="1" priority="10">
      <formula>AND(AND(G$4&gt;=$C5,G$4&lt;=$D5),LEFT($A5,1)="5",ISERROR(FIND(".",$A5)))</formula>
    </cfRule>
    <cfRule type="expression" dxfId="0" priority="11">
      <formula>AND(AND(G$4&gt;=$C5,G$4&lt;=$D5),LEFT($A5,1)="5")</formula>
    </cfRule>
  </conditionalFormatting>
  <dataValidations count="1">
    <dataValidation type="list" allowBlank="1" sqref="F5:F9 F11:F18 F20:F23 F25:F28 F30:F32" xr:uid="{00000000-0002-0000-0000-000000000000}">
      <formula1>"Не начато,В процессе,Сделано"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Диаграмма Ганта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Даниил Игнатьев</cp:lastModifiedBy>
  <cp:revision>0</cp:revision>
  <dcterms:created xsi:type="dcterms:W3CDTF">2026-09-30T20:58:20Z</dcterms:created>
  <dcterms:modified xsi:type="dcterms:W3CDTF">2026-10-12T21:06:01Z</dcterms:modified>
  <dc:language>en-US</dc:language>
</cp:coreProperties>
</file>